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7" windowHeight="12300"/>
  </bookViews>
  <sheets>
    <sheet name="combination-5柜" sheetId="2" r:id="rId1"/>
  </sheets>
  <definedNames>
    <definedName name="_xlnm._FilterDatabase" localSheetId="0" hidden="1">'combination-5柜'!$D$1:$D$140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<sst xmlns="http://schemas.openxmlformats.org/spreadsheetml/2006/main" count="69" uniqueCount="34">
  <si>
    <t>brutto</t>
  </si>
  <si>
    <t>CNTR NO.</t>
  </si>
  <si>
    <t>Block No.</t>
  </si>
  <si>
    <t>CLASS</t>
  </si>
  <si>
    <t>长</t>
  </si>
  <si>
    <t>宽</t>
  </si>
  <si>
    <t>高</t>
  </si>
  <si>
    <t>M3</t>
  </si>
  <si>
    <t>Tons</t>
  </si>
  <si>
    <t>0208</t>
  </si>
  <si>
    <t>/25</t>
  </si>
  <si>
    <t>S III</t>
  </si>
  <si>
    <t>0206</t>
  </si>
  <si>
    <t>S IV</t>
  </si>
  <si>
    <t>0210</t>
  </si>
  <si>
    <t>S II</t>
  </si>
  <si>
    <t>0205</t>
  </si>
  <si>
    <t>0209</t>
  </si>
  <si>
    <t>0211</t>
  </si>
  <si>
    <t>0255</t>
  </si>
  <si>
    <t>0212</t>
  </si>
  <si>
    <t>0250</t>
  </si>
  <si>
    <t>0257</t>
  </si>
  <si>
    <t>S I</t>
  </si>
  <si>
    <t>0256</t>
  </si>
  <si>
    <t>0214</t>
  </si>
  <si>
    <t>0252</t>
  </si>
  <si>
    <t>0207</t>
  </si>
  <si>
    <t>0254</t>
  </si>
  <si>
    <t>0251</t>
  </si>
  <si>
    <t>0253</t>
  </si>
  <si>
    <t>0259</t>
  </si>
  <si>
    <t>0258</t>
  </si>
  <si>
    <t>0213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</si>
</sst>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.25"/>
      <color rgb="FF1A2029"/>
      <name val="PingFang SC"/>
      <charset val="134"/>
    </font>
    <font>
      <sz val="10"/>
      <color theme="1"/>
      <name val="微软雅黑"/>
      <charset val="134"/>
    </font>
    <font>
      <sz val="11"/>
      <color rgb="FF000000"/>
      <name val="宋体"/>
      <charset val="134"/>
    </font>
    <font>
      <b/>
      <sz val="10"/>
      <color theme="1"/>
      <name val="微软雅黑"/>
      <charset val="134"/>
    </font>
    <font>
      <sz val="10.5"/>
      <color rgb="FF060607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7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2" borderId="0" xfId="0" applyFont="1" applyFill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176" fontId="5" fillId="3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5" fillId="2" borderId="2" xfId="0" applyNumberFormat="1" applyFont="1" applyFill="1" applyBorder="1" applyAlignment="1">
      <alignment horizontal="center" vertical="center"/>
    </xf>
    <xf numFmtId="176" fontId="0" fillId="2" borderId="0" xfId="0" applyNumberFormat="1" applyFill="1"/>
    <xf numFmtId="176" fontId="0" fillId="2" borderId="3" xfId="0" applyNumberFormat="1" applyFill="1" applyBorder="1"/>
    <xf numFmtId="0" fontId="0" fillId="2" borderId="3" xfId="0" applyFill="1" applyBorder="1"/>
    <xf numFmtId="176" fontId="5" fillId="2" borderId="0" xfId="0" applyNumberFormat="1" applyFont="1" applyFill="1" applyAlignment="1">
      <alignment horizontal="center" vertical="center"/>
    </xf>
    <xf numFmtId="176" fontId="5" fillId="2" borderId="0" xfId="0" applyNumberFormat="1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quotePrefix="1">
      <alignment horizontal="center" vertical="center" wrapText="1"/>
    </xf>
    <xf numFmtId="0" fontId="2" fillId="2" borderId="1" xfId="0" applyFont="1" applyFill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140"/>
  <sheetViews>
    <sheetView tabSelected="1" workbookViewId="0">
      <selection activeCell="S17" sqref="S17"/>
    </sheetView>
  </sheetViews>
  <sheetFormatPr defaultColWidth="9" defaultRowHeight="14.4"/>
  <sheetData>
    <row r="1" spans="1:13">
      <c r="A1" s="1"/>
      <c r="B1" s="1"/>
      <c r="C1" s="1"/>
      <c r="D1" s="2"/>
      <c r="E1" s="3" t="s">
        <v>0</v>
      </c>
      <c r="F1" s="3"/>
      <c r="G1" s="3"/>
      <c r="H1" s="3"/>
      <c r="I1" s="4"/>
      <c r="J1" s="1"/>
      <c r="K1" s="1"/>
      <c r="L1" s="1"/>
      <c r="M1" s="1"/>
    </row>
    <row r="2" spans="1:13">
      <c r="A2" s="1" t="s">
        <v>1</v>
      </c>
      <c r="B2" s="5" t="s">
        <v>2</v>
      </c>
      <c r="C2" s="5"/>
      <c r="D2" s="6" t="s">
        <v>3</v>
      </c>
      <c r="E2" s="7" t="s">
        <v>4</v>
      </c>
      <c r="F2" s="7" t="s">
        <v>5</v>
      </c>
      <c r="G2" s="7" t="s">
        <v>6</v>
      </c>
      <c r="H2" s="6" t="s">
        <v>7</v>
      </c>
      <c r="I2" s="8" t="s">
        <v>8</v>
      </c>
      <c r="J2" s="1"/>
      <c r="K2" s="1"/>
      <c r="L2" s="1"/>
      <c r="M2" s="1"/>
    </row>
    <row r="3" ht="15.6" spans="1:13">
      <c r="A3" s="9">
        <v>1</v>
      </c>
      <c r="B3" s="28" t="s">
        <v>9</v>
      </c>
      <c r="C3" s="10" t="s">
        <v>10</v>
      </c>
      <c r="D3" s="11" t="s">
        <v>11</v>
      </c>
      <c r="E3" s="12">
        <v>230</v>
      </c>
      <c r="F3" s="13">
        <v>125</v>
      </c>
      <c r="G3" s="13">
        <v>125</v>
      </c>
      <c r="H3" s="14">
        <f>E3*F3*G3*0.000001</f>
        <v>3.59375</v>
      </c>
      <c r="I3" s="15">
        <v>7.95</v>
      </c>
      <c r="J3" s="1"/>
      <c r="K3" s="1"/>
      <c r="L3" s="1"/>
    </row>
    <row r="4" ht="15.6" spans="1:13">
      <c r="A4" s="9"/>
      <c r="B4" s="28" t="s">
        <v>12</v>
      </c>
      <c r="C4" s="10" t="s">
        <v>10</v>
      </c>
      <c r="D4" s="11" t="s">
        <v>13</v>
      </c>
      <c r="E4" s="12">
        <v>250</v>
      </c>
      <c r="F4" s="13">
        <v>80</v>
      </c>
      <c r="G4" s="13">
        <v>83</v>
      </c>
      <c r="H4" s="14">
        <f>E4*F4*G4*0.000001</f>
        <v>1.66</v>
      </c>
      <c r="I4" s="15">
        <v>4.35</v>
      </c>
      <c r="J4" s="1"/>
      <c r="K4" s="1"/>
      <c r="L4" s="1"/>
      <c r="M4" s="1"/>
    </row>
    <row r="5" ht="15.6" spans="1:13">
      <c r="A5" s="9"/>
      <c r="B5" s="29" t="s">
        <v>14</v>
      </c>
      <c r="C5" s="16" t="s">
        <v>10</v>
      </c>
      <c r="D5" s="11" t="s">
        <v>15</v>
      </c>
      <c r="E5" s="17">
        <v>210</v>
      </c>
      <c r="F5" s="18">
        <v>150</v>
      </c>
      <c r="G5" s="18">
        <v>120</v>
      </c>
      <c r="H5" s="19">
        <f>E5*F5*G5*0.000001</f>
        <v>3.78</v>
      </c>
      <c r="I5" s="20">
        <v>9.61</v>
      </c>
      <c r="J5" s="1"/>
      <c r="K5" s="1"/>
      <c r="L5" s="1"/>
      <c r="M5" s="1"/>
    </row>
    <row r="6" ht="15.6" spans="1:13">
      <c r="A6" s="9"/>
      <c r="B6" s="29" t="s">
        <v>16</v>
      </c>
      <c r="C6" s="16" t="s">
        <v>10</v>
      </c>
      <c r="D6" s="11" t="s">
        <v>15</v>
      </c>
      <c r="E6" s="17">
        <v>214</v>
      </c>
      <c r="F6" s="18">
        <v>124</v>
      </c>
      <c r="G6" s="18">
        <v>55</v>
      </c>
      <c r="H6" s="19">
        <f>E6*F6*G6*0.000001</f>
        <v>1.45948</v>
      </c>
      <c r="I6" s="20">
        <v>3.35</v>
      </c>
      <c r="J6" s="1"/>
      <c r="K6" s="1"/>
      <c r="L6" s="1"/>
      <c r="M6" s="1"/>
    </row>
    <row r="7" spans="1:13">
      <c r="A7" s="1"/>
      <c r="B7" s="1"/>
      <c r="C7" s="1"/>
      <c r="D7" s="21"/>
      <c r="E7" s="1"/>
      <c r="F7" s="1">
        <f>+E4+F5+F6</f>
        <v>524</v>
      </c>
      <c r="G7" s="1"/>
      <c r="H7" s="1"/>
      <c r="I7" s="22">
        <f>SUM(I3:I6)</f>
        <v>25.26</v>
      </c>
      <c r="J7" s="1"/>
      <c r="K7" s="1"/>
      <c r="L7" s="1"/>
      <c r="M7" s="1"/>
    </row>
    <row r="8" spans="1:13">
      <c r="A8" s="1"/>
      <c r="B8" s="1"/>
      <c r="C8" s="1"/>
      <c r="D8" s="1"/>
      <c r="E8" s="1"/>
      <c r="F8" s="1"/>
      <c r="G8" s="1"/>
      <c r="H8" s="1"/>
      <c r="I8" s="23"/>
      <c r="J8" s="1"/>
      <c r="K8" s="1"/>
      <c r="L8" s="1"/>
      <c r="M8" s="1"/>
    </row>
    <row r="9" ht="15.6" spans="1:13">
      <c r="A9" s="9">
        <v>2</v>
      </c>
      <c r="B9" s="28" t="s">
        <v>17</v>
      </c>
      <c r="C9" s="10" t="s">
        <v>10</v>
      </c>
      <c r="D9" s="11" t="s">
        <v>15</v>
      </c>
      <c r="E9" s="12">
        <v>230</v>
      </c>
      <c r="F9" s="13">
        <v>90</v>
      </c>
      <c r="G9" s="13">
        <v>125</v>
      </c>
      <c r="H9" s="14">
        <f>E9*F9*G9*0.000001</f>
        <v>2.5875</v>
      </c>
      <c r="I9" s="15">
        <v>6.42</v>
      </c>
      <c r="J9" s="1"/>
      <c r="K9" s="1"/>
      <c r="L9" s="1"/>
      <c r="M9" s="1"/>
    </row>
    <row r="10" ht="15.6" spans="1:13">
      <c r="A10" s="9"/>
      <c r="B10" s="28" t="s">
        <v>18</v>
      </c>
      <c r="C10" s="10" t="s">
        <v>10</v>
      </c>
      <c r="D10" s="11" t="s">
        <v>11</v>
      </c>
      <c r="E10" s="12">
        <v>250</v>
      </c>
      <c r="F10" s="13">
        <v>150</v>
      </c>
      <c r="G10" s="13">
        <v>115</v>
      </c>
      <c r="H10" s="14">
        <f>E10*F10*G10*0.000001</f>
        <v>4.3125</v>
      </c>
      <c r="I10" s="15">
        <v>10.67</v>
      </c>
      <c r="J10" s="1"/>
      <c r="K10" s="1"/>
      <c r="L10" s="1"/>
    </row>
    <row r="11" ht="15.6" spans="1:13">
      <c r="A11" s="9"/>
      <c r="B11" s="29" t="s">
        <v>19</v>
      </c>
      <c r="C11" s="16" t="s">
        <v>10</v>
      </c>
      <c r="D11" s="11" t="s">
        <v>15</v>
      </c>
      <c r="E11" s="17">
        <v>210</v>
      </c>
      <c r="F11" s="18">
        <v>120</v>
      </c>
      <c r="G11" s="18">
        <v>75</v>
      </c>
      <c r="H11" s="19">
        <f>E11*F11*G11*0.000001</f>
        <v>1.89</v>
      </c>
      <c r="I11" s="20">
        <v>4.45</v>
      </c>
      <c r="J11" s="1"/>
      <c r="K11" s="1"/>
      <c r="L11" s="1"/>
    </row>
    <row r="12" ht="15.6" spans="1:13">
      <c r="A12" s="9"/>
      <c r="B12" s="29" t="s">
        <v>20</v>
      </c>
      <c r="C12" s="16" t="s">
        <v>10</v>
      </c>
      <c r="D12" s="11" t="s">
        <v>15</v>
      </c>
      <c r="E12" s="17">
        <v>170</v>
      </c>
      <c r="F12" s="18">
        <v>110</v>
      </c>
      <c r="G12" s="18">
        <v>70</v>
      </c>
      <c r="H12" s="19">
        <f>E12*F12*G12*0.000001</f>
        <v>1.309</v>
      </c>
      <c r="I12" s="20">
        <v>3.47</v>
      </c>
      <c r="J12" s="1"/>
      <c r="K12" s="1"/>
      <c r="L12" s="1"/>
    </row>
    <row r="13" spans="1:13">
      <c r="A13" s="1"/>
      <c r="B13" s="1"/>
      <c r="C13" s="1"/>
      <c r="D13" s="21"/>
      <c r="E13" s="1"/>
      <c r="F13" s="1">
        <f>+E10+F11+F12</f>
        <v>480</v>
      </c>
      <c r="G13" s="1"/>
      <c r="H13" s="1"/>
      <c r="I13" s="22">
        <f>SUM(I9:I12)</f>
        <v>25.01</v>
      </c>
      <c r="J13" s="1"/>
      <c r="K13" s="1"/>
      <c r="L13" s="1"/>
      <c r="M13" s="1"/>
    </row>
    <row r="14" spans="1:13">
      <c r="A14" s="1"/>
      <c r="B14" s="1"/>
      <c r="C14" s="1"/>
      <c r="D14" s="1"/>
      <c r="E14" s="1"/>
      <c r="F14" s="1"/>
      <c r="G14" s="1"/>
      <c r="H14" s="1"/>
      <c r="I14" s="23"/>
      <c r="J14" s="1"/>
      <c r="K14" s="1"/>
      <c r="L14" s="1"/>
      <c r="M14" s="1"/>
    </row>
    <row r="15" ht="15.6" spans="1:13">
      <c r="A15" s="9">
        <v>3</v>
      </c>
      <c r="B15" s="28" t="s">
        <v>21</v>
      </c>
      <c r="C15" s="10" t="s">
        <v>10</v>
      </c>
      <c r="D15" s="11" t="s">
        <v>15</v>
      </c>
      <c r="E15" s="12">
        <v>273</v>
      </c>
      <c r="F15" s="13">
        <v>180</v>
      </c>
      <c r="G15" s="13">
        <v>85</v>
      </c>
      <c r="H15" s="14">
        <f>E15*F15*G15*0.000001</f>
        <v>4.1769</v>
      </c>
      <c r="I15" s="15">
        <v>9.85</v>
      </c>
      <c r="J15" s="1"/>
      <c r="K15" s="1"/>
      <c r="L15" s="1"/>
      <c r="M15" s="1"/>
    </row>
    <row r="16" ht="15.6" spans="1:13">
      <c r="A16" s="9"/>
      <c r="B16" s="28" t="s">
        <v>22</v>
      </c>
      <c r="C16" s="10" t="s">
        <v>10</v>
      </c>
      <c r="D16" s="11" t="s">
        <v>23</v>
      </c>
      <c r="E16" s="12">
        <v>233</v>
      </c>
      <c r="F16" s="13">
        <v>122</v>
      </c>
      <c r="G16" s="13">
        <v>78</v>
      </c>
      <c r="H16" s="14">
        <f>E16*F16*G16*0.000001</f>
        <v>2.217228</v>
      </c>
      <c r="I16" s="15">
        <v>5.31</v>
      </c>
      <c r="J16" s="1"/>
      <c r="K16" s="1"/>
      <c r="L16" s="1"/>
      <c r="M16" s="1"/>
    </row>
    <row r="17" ht="15.6" spans="1:13">
      <c r="A17" s="9"/>
      <c r="B17" s="29" t="s">
        <v>24</v>
      </c>
      <c r="C17" s="16" t="s">
        <v>10</v>
      </c>
      <c r="D17" s="11" t="s">
        <v>15</v>
      </c>
      <c r="E17" s="17">
        <v>210</v>
      </c>
      <c r="F17" s="18">
        <v>195</v>
      </c>
      <c r="G17" s="18">
        <v>70</v>
      </c>
      <c r="H17" s="19">
        <f>E17*F17*G17*0.000001</f>
        <v>2.8665</v>
      </c>
      <c r="I17" s="20">
        <v>7.11</v>
      </c>
      <c r="J17" s="1"/>
      <c r="K17" s="1"/>
      <c r="L17" s="1"/>
      <c r="M17" s="1"/>
    </row>
    <row r="18" ht="15.6" spans="1:13">
      <c r="A18" s="9"/>
      <c r="B18" s="29" t="s">
        <v>25</v>
      </c>
      <c r="C18" s="16" t="s">
        <v>10</v>
      </c>
      <c r="D18" s="11" t="s">
        <v>11</v>
      </c>
      <c r="E18" s="17">
        <v>155</v>
      </c>
      <c r="F18" s="18">
        <v>120</v>
      </c>
      <c r="G18" s="18">
        <v>60</v>
      </c>
      <c r="H18" s="19">
        <f>E18*F18*G18*0.000001</f>
        <v>1.116</v>
      </c>
      <c r="I18" s="20">
        <v>2.88</v>
      </c>
      <c r="J18" s="1"/>
      <c r="K18" s="1"/>
      <c r="L18" s="1"/>
      <c r="M18" s="1"/>
    </row>
    <row r="19" spans="1:13">
      <c r="A19" s="1"/>
      <c r="B19" s="1"/>
      <c r="C19" s="1"/>
      <c r="D19" s="21"/>
      <c r="E19" s="1"/>
      <c r="F19" s="1">
        <f>+E15+F17+G18</f>
        <v>528</v>
      </c>
      <c r="G19" s="1"/>
      <c r="H19" s="1"/>
      <c r="I19" s="22">
        <f>SUM(I15:I18)</f>
        <v>25.15</v>
      </c>
      <c r="J19" s="1"/>
      <c r="K19" s="1"/>
      <c r="L19" s="1"/>
    </row>
    <row r="20" spans="1:13">
      <c r="A20" s="1"/>
      <c r="B20" s="1"/>
      <c r="C20" s="1"/>
      <c r="D20" s="1"/>
      <c r="E20" s="1"/>
      <c r="F20" s="1"/>
      <c r="G20" s="1"/>
      <c r="H20" s="1"/>
      <c r="I20" s="23"/>
      <c r="J20" s="1"/>
      <c r="K20" s="1"/>
      <c r="L20" s="1"/>
    </row>
    <row r="21" ht="15.6" spans="1:13">
      <c r="A21" s="9">
        <v>4</v>
      </c>
      <c r="B21" s="28" t="s">
        <v>26</v>
      </c>
      <c r="C21" s="10" t="s">
        <v>10</v>
      </c>
      <c r="D21" s="11" t="s">
        <v>15</v>
      </c>
      <c r="E21" s="12">
        <v>290</v>
      </c>
      <c r="F21" s="13">
        <v>160</v>
      </c>
      <c r="G21" s="13">
        <v>63</v>
      </c>
      <c r="H21" s="14">
        <f>E21*F21*G21*0.000001</f>
        <v>2.9232</v>
      </c>
      <c r="I21" s="15">
        <v>7.28</v>
      </c>
      <c r="J21" s="1"/>
      <c r="K21" s="1"/>
      <c r="L21" s="1"/>
      <c r="M21" s="1"/>
    </row>
    <row r="22" ht="15.6" spans="1:13">
      <c r="A22" s="9"/>
      <c r="B22" s="28" t="s">
        <v>27</v>
      </c>
      <c r="C22" s="10" t="s">
        <v>10</v>
      </c>
      <c r="D22" s="11" t="s">
        <v>11</v>
      </c>
      <c r="E22" s="12">
        <v>190</v>
      </c>
      <c r="F22" s="13">
        <v>110</v>
      </c>
      <c r="G22" s="13">
        <v>95</v>
      </c>
      <c r="H22" s="14">
        <f>E22*F22*G22*0.000001</f>
        <v>1.9855</v>
      </c>
      <c r="I22" s="15">
        <v>5.09</v>
      </c>
      <c r="J22" s="1"/>
      <c r="K22" s="1"/>
      <c r="L22" s="1"/>
      <c r="M22" s="1"/>
    </row>
    <row r="23" ht="15.6" spans="1:13">
      <c r="A23" s="9"/>
      <c r="B23" s="29" t="s">
        <v>28</v>
      </c>
      <c r="C23" s="16" t="s">
        <v>10</v>
      </c>
      <c r="D23" s="11" t="s">
        <v>11</v>
      </c>
      <c r="E23" s="17">
        <v>175</v>
      </c>
      <c r="F23" s="18">
        <v>140</v>
      </c>
      <c r="G23" s="18">
        <v>110</v>
      </c>
      <c r="H23" s="19">
        <f>E23*F23*G23*0.000001</f>
        <v>2.695</v>
      </c>
      <c r="I23" s="20">
        <v>6.79</v>
      </c>
      <c r="J23" s="1"/>
      <c r="K23" s="1"/>
      <c r="L23" s="1"/>
      <c r="M23" s="1"/>
    </row>
    <row r="24" ht="15.6" spans="1:13">
      <c r="A24" s="9"/>
      <c r="B24" s="29" t="s">
        <v>29</v>
      </c>
      <c r="C24" s="16" t="s">
        <v>10</v>
      </c>
      <c r="D24" s="11" t="s">
        <v>15</v>
      </c>
      <c r="E24" s="17">
        <v>190</v>
      </c>
      <c r="F24" s="18">
        <v>140</v>
      </c>
      <c r="G24" s="18">
        <v>100</v>
      </c>
      <c r="H24" s="19">
        <f>E24*F24*G24*0.000001</f>
        <v>2.66</v>
      </c>
      <c r="I24" s="20">
        <v>6.35</v>
      </c>
      <c r="J24" s="1"/>
      <c r="K24" s="1"/>
      <c r="L24" s="1"/>
      <c r="M24" s="1"/>
    </row>
    <row r="25" spans="1:13">
      <c r="A25" s="1"/>
      <c r="B25" s="1"/>
      <c r="C25" s="1"/>
      <c r="D25" s="21"/>
      <c r="E25" s="1"/>
      <c r="F25" s="1">
        <f>+E21+F23+F24</f>
        <v>570</v>
      </c>
      <c r="G25" s="1"/>
      <c r="H25" s="1"/>
      <c r="I25" s="22">
        <f>SUM(I21:I24)</f>
        <v>25.51</v>
      </c>
      <c r="J25" s="1"/>
      <c r="K25" s="1"/>
      <c r="L25" s="1"/>
    </row>
    <row r="26" spans="1:13">
      <c r="A26" s="1"/>
      <c r="B26" s="1"/>
      <c r="C26" s="1"/>
      <c r="D26" s="1"/>
      <c r="E26" s="1"/>
      <c r="F26" s="1"/>
      <c r="G26" s="1"/>
      <c r="H26" s="1"/>
      <c r="I26" s="23"/>
      <c r="J26" s="1"/>
      <c r="K26" s="1"/>
      <c r="L26" s="1"/>
    </row>
    <row r="27" ht="15.6" spans="1:13">
      <c r="A27" s="9">
        <v>5</v>
      </c>
      <c r="B27" s="28" t="s">
        <v>30</v>
      </c>
      <c r="C27" s="10" t="s">
        <v>10</v>
      </c>
      <c r="D27" s="11" t="s">
        <v>15</v>
      </c>
      <c r="E27" s="12">
        <v>225</v>
      </c>
      <c r="F27" s="13">
        <v>130</v>
      </c>
      <c r="G27" s="13">
        <v>110</v>
      </c>
      <c r="H27" s="14">
        <f>E27*F27*G27*0.000001</f>
        <v>3.2175</v>
      </c>
      <c r="I27" s="15">
        <v>8.07</v>
      </c>
      <c r="J27" s="1"/>
      <c r="K27" s="1"/>
      <c r="L27" s="1"/>
    </row>
    <row r="28" ht="15.6" spans="1:13">
      <c r="A28" s="9"/>
      <c r="B28" s="28" t="s">
        <v>31</v>
      </c>
      <c r="C28" s="10" t="s">
        <v>10</v>
      </c>
      <c r="D28" s="11" t="s">
        <v>15</v>
      </c>
      <c r="E28" s="12">
        <v>252</v>
      </c>
      <c r="F28" s="13">
        <v>105</v>
      </c>
      <c r="G28" s="13">
        <v>195</v>
      </c>
      <c r="H28" s="14">
        <f>E28*F28*G28*0.000001</f>
        <v>5.1597</v>
      </c>
      <c r="I28" s="15">
        <v>12.48</v>
      </c>
      <c r="J28" s="1"/>
      <c r="K28" s="1"/>
      <c r="L28" s="1"/>
    </row>
    <row r="29" ht="15.6" spans="1:13">
      <c r="A29" s="9"/>
      <c r="B29" s="29" t="s">
        <v>32</v>
      </c>
      <c r="C29" s="16" t="s">
        <v>10</v>
      </c>
      <c r="D29" s="11" t="s">
        <v>15</v>
      </c>
      <c r="E29" s="17">
        <v>173</v>
      </c>
      <c r="F29" s="18">
        <v>95</v>
      </c>
      <c r="G29" s="18">
        <v>65</v>
      </c>
      <c r="H29" s="19">
        <f>E29*F29*G29*0.000001</f>
        <v>1.068275</v>
      </c>
      <c r="I29" s="20">
        <v>2.61</v>
      </c>
      <c r="J29" s="1"/>
      <c r="K29" s="1"/>
      <c r="L29" s="1"/>
      <c r="M29" s="1"/>
    </row>
    <row r="30" ht="15.6" spans="1:13">
      <c r="A30" s="9"/>
      <c r="B30" s="29" t="s">
        <v>33</v>
      </c>
      <c r="C30" s="16" t="s">
        <v>10</v>
      </c>
      <c r="D30" s="11" t="s">
        <v>11</v>
      </c>
      <c r="E30" s="17">
        <v>200</v>
      </c>
      <c r="F30" s="18">
        <v>100</v>
      </c>
      <c r="G30" s="18">
        <v>50</v>
      </c>
      <c r="H30" s="19">
        <f>E30*F30*G30*0.000001</f>
        <v>1</v>
      </c>
      <c r="I30" s="20">
        <v>2.6</v>
      </c>
      <c r="J30" s="1"/>
      <c r="K30" s="1"/>
      <c r="L30" s="1"/>
      <c r="M30" s="1"/>
    </row>
    <row r="31" spans="1:13">
      <c r="A31" s="1"/>
      <c r="B31" s="1"/>
      <c r="C31" s="1"/>
      <c r="D31" s="21"/>
      <c r="E31" s="1">
        <f>+E28+F30+F29</f>
        <v>447</v>
      </c>
      <c r="F31" s="1"/>
      <c r="G31" s="1"/>
      <c r="H31" s="1"/>
      <c r="I31" s="21">
        <f>SUM(I27:I30)</f>
        <v>25.76</v>
      </c>
      <c r="J31" s="1"/>
      <c r="K31" s="1"/>
      <c r="L31" s="1"/>
      <c r="M31" s="1"/>
    </row>
    <row r="32" spans="1:13">
      <c r="J32" s="1"/>
      <c r="K32" s="1"/>
      <c r="L32" s="1"/>
      <c r="M32" s="1"/>
    </row>
    <row r="33" spans="1:13">
      <c r="J33" s="1"/>
      <c r="K33" s="1"/>
      <c r="L33" s="1"/>
      <c r="M33" s="1"/>
    </row>
    <row r="34" spans="1:13">
      <c r="J34" s="1"/>
      <c r="K34" s="1"/>
      <c r="L34" s="1"/>
    </row>
    <row r="35" ht="15.6" spans="1:13">
      <c r="A35" s="1"/>
      <c r="B35" s="1"/>
      <c r="C35" s="1"/>
      <c r="D35" s="24"/>
      <c r="E35" s="1"/>
      <c r="F35" s="1"/>
      <c r="G35" s="1"/>
      <c r="H35" s="25">
        <f>SUM(H3:H29)</f>
        <v>50.678033</v>
      </c>
      <c r="I35" s="25">
        <v>126.69</v>
      </c>
      <c r="J35" s="1"/>
      <c r="K35" s="1"/>
      <c r="L35" s="1"/>
      <c r="M35" s="1"/>
    </row>
    <row r="36" spans="1:1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>
      <c r="A37" s="1"/>
      <c r="B37" s="1"/>
      <c r="C37" s="1"/>
      <c r="E37" s="1"/>
      <c r="F37" s="1"/>
      <c r="G37" s="1"/>
      <c r="J37" s="1"/>
      <c r="K37" s="1"/>
      <c r="L37" s="1"/>
      <c r="M37" s="1"/>
    </row>
    <row r="38" spans="1:1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>
      <c r="A45" s="1"/>
      <c r="B45" s="26"/>
      <c r="C45" s="26"/>
      <c r="E45" s="27"/>
      <c r="F45" s="27"/>
      <c r="G45" s="27"/>
      <c r="J45" s="1"/>
      <c r="K45" s="1"/>
      <c r="L45" s="1"/>
      <c r="M45" s="1"/>
    </row>
    <row r="46" spans="1:1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>
      <c r="A73" s="1"/>
      <c r="B73" s="1"/>
      <c r="C73" s="1"/>
      <c r="D73" s="1"/>
      <c r="E73" s="1"/>
      <c r="F73" s="1"/>
      <c r="G73" s="1"/>
      <c r="H73" s="1"/>
      <c r="I73" s="1"/>
    </row>
    <row r="74" spans="1:13">
      <c r="A74" s="1"/>
      <c r="B74" s="1"/>
      <c r="C74" s="1"/>
      <c r="D74" s="1"/>
      <c r="E74" s="1"/>
      <c r="F74" s="1"/>
      <c r="G74" s="1"/>
      <c r="H74" s="1"/>
      <c r="I74" s="1"/>
    </row>
    <row r="75" spans="1:13">
      <c r="A75" s="1"/>
      <c r="B75" s="1"/>
      <c r="C75" s="1"/>
      <c r="D75" s="1"/>
      <c r="E75" s="1"/>
      <c r="F75" s="1"/>
      <c r="G75" s="1"/>
      <c r="H75" s="1"/>
      <c r="I75" s="1"/>
    </row>
    <row r="76" spans="1:13">
      <c r="A76" s="1"/>
      <c r="B76" s="1"/>
      <c r="C76" s="1"/>
      <c r="D76" s="1"/>
      <c r="E76" s="1"/>
      <c r="F76" s="1"/>
      <c r="G76" s="1"/>
      <c r="H76" s="1"/>
      <c r="I76" s="1"/>
    </row>
    <row r="77" spans="1:13">
      <c r="A77" s="1"/>
      <c r="B77" s="1"/>
      <c r="C77" s="1"/>
      <c r="D77" s="1"/>
      <c r="E77" s="1"/>
      <c r="F77" s="1"/>
      <c r="G77" s="1"/>
      <c r="H77" s="1"/>
      <c r="I77" s="1"/>
    </row>
    <row r="78" spans="1:13">
      <c r="A78" s="1"/>
      <c r="B78" s="1"/>
      <c r="C78" s="1"/>
      <c r="D78" s="1"/>
      <c r="E78" s="1"/>
      <c r="F78" s="1"/>
      <c r="G78" s="1"/>
      <c r="H78" s="1"/>
      <c r="I78" s="1"/>
    </row>
    <row r="79" spans="1:13">
      <c r="A79" s="1"/>
      <c r="B79" s="1"/>
      <c r="C79" s="1"/>
      <c r="D79" s="1"/>
      <c r="E79" s="1"/>
      <c r="F79" s="1"/>
      <c r="G79" s="1"/>
      <c r="H79" s="1"/>
      <c r="I79" s="1"/>
    </row>
    <row r="80" spans="1:13">
      <c r="A80" s="1"/>
      <c r="B80" s="1"/>
      <c r="C80" s="1"/>
      <c r="D80" s="1"/>
      <c r="E80" s="1"/>
      <c r="F80" s="1"/>
      <c r="G80" s="1"/>
      <c r="H80" s="1"/>
      <c r="I80" s="1"/>
    </row>
    <row r="81" spans="1:9">
      <c r="A81" s="1"/>
      <c r="B81" s="1"/>
      <c r="C81" s="1"/>
      <c r="D81" s="1"/>
      <c r="E81" s="1"/>
      <c r="F81" s="1"/>
      <c r="G81" s="1"/>
      <c r="H81" s="1"/>
      <c r="I81" s="1"/>
    </row>
    <row r="82" spans="1:9">
      <c r="A82" s="1"/>
      <c r="B82" s="1"/>
      <c r="C82" s="1"/>
      <c r="D82" s="1"/>
      <c r="E82" s="1"/>
      <c r="F82" s="1"/>
      <c r="G82" s="1"/>
      <c r="H82" s="1"/>
      <c r="I82" s="1"/>
    </row>
    <row r="83" spans="1:9">
      <c r="A83" s="1"/>
      <c r="B83" s="1"/>
      <c r="C83" s="1"/>
      <c r="D83" s="1"/>
      <c r="E83" s="1"/>
      <c r="F83" s="1"/>
      <c r="G83" s="1"/>
      <c r="H83" s="1"/>
      <c r="I83" s="1"/>
    </row>
    <row r="84" spans="1:9">
      <c r="A84" s="1"/>
      <c r="B84" s="1"/>
      <c r="C84" s="1"/>
      <c r="D84" s="1"/>
      <c r="E84" s="1"/>
      <c r="F84" s="1"/>
      <c r="G84" s="1"/>
      <c r="H84" s="1"/>
      <c r="I84" s="1"/>
    </row>
    <row r="85" spans="1:9">
      <c r="A85" s="1"/>
      <c r="B85" s="1"/>
      <c r="C85" s="1"/>
      <c r="D85" s="1"/>
      <c r="E85" s="1"/>
      <c r="F85" s="1"/>
      <c r="G85" s="1"/>
      <c r="H85" s="1"/>
      <c r="I85" s="1"/>
    </row>
    <row r="86" spans="1:9">
      <c r="A86" s="1"/>
      <c r="B86" s="1"/>
      <c r="C86" s="1"/>
      <c r="D86" s="1"/>
      <c r="E86" s="1"/>
      <c r="F86" s="1"/>
      <c r="G86" s="1"/>
      <c r="H86" s="1"/>
      <c r="I86" s="1"/>
    </row>
    <row r="87" spans="1:9">
      <c r="A87" s="1"/>
      <c r="B87" s="1"/>
      <c r="C87" s="1"/>
      <c r="D87" s="1"/>
      <c r="E87" s="1"/>
      <c r="F87" s="1"/>
      <c r="G87" s="1"/>
      <c r="H87" s="1"/>
      <c r="I87" s="1"/>
    </row>
    <row r="88" spans="1:9">
      <c r="A88" s="1"/>
      <c r="B88" s="1"/>
      <c r="C88" s="1"/>
      <c r="D88" s="1"/>
      <c r="E88" s="1"/>
      <c r="F88" s="1"/>
      <c r="G88" s="1"/>
      <c r="H88" s="1"/>
      <c r="I88" s="1"/>
    </row>
    <row r="89" spans="1:9">
      <c r="A89" s="1"/>
      <c r="B89" s="1"/>
      <c r="C89" s="1"/>
      <c r="D89" s="1"/>
      <c r="E89" s="1"/>
      <c r="F89" s="1"/>
      <c r="G89" s="1"/>
      <c r="H89" s="1"/>
      <c r="I89" s="1"/>
    </row>
    <row r="90" spans="1:9">
      <c r="A90" s="1"/>
      <c r="B90" s="1"/>
      <c r="C90" s="1"/>
      <c r="D90" s="1"/>
      <c r="E90" s="1"/>
      <c r="F90" s="1"/>
      <c r="G90" s="1"/>
      <c r="H90" s="1"/>
      <c r="I90" s="1"/>
    </row>
    <row r="91" spans="1:9">
      <c r="A91" s="1"/>
      <c r="B91" s="1"/>
      <c r="C91" s="1"/>
      <c r="D91" s="1"/>
      <c r="E91" s="1"/>
      <c r="F91" s="1"/>
      <c r="G91" s="1"/>
      <c r="H91" s="1"/>
      <c r="I91" s="1"/>
    </row>
    <row r="92" spans="1:9">
      <c r="A92" s="1"/>
      <c r="B92" s="1"/>
      <c r="C92" s="1"/>
      <c r="D92" s="1"/>
      <c r="E92" s="1"/>
      <c r="F92" s="1"/>
      <c r="G92" s="1"/>
      <c r="H92" s="1"/>
      <c r="I92" s="1"/>
    </row>
    <row r="93" spans="1:9">
      <c r="A93" s="1"/>
      <c r="B93" s="1"/>
      <c r="C93" s="1"/>
      <c r="D93" s="1"/>
      <c r="E93" s="1"/>
      <c r="F93" s="1"/>
      <c r="G93" s="1"/>
      <c r="H93" s="1"/>
      <c r="I93" s="1"/>
    </row>
    <row r="94" spans="1:9">
      <c r="A94" s="1"/>
      <c r="B94" s="1"/>
      <c r="C94" s="1"/>
      <c r="D94" s="1"/>
      <c r="E94" s="1"/>
      <c r="F94" s="1"/>
      <c r="G94" s="1"/>
      <c r="H94" s="1"/>
      <c r="I94" s="1"/>
    </row>
    <row r="95" spans="1:9">
      <c r="A95" s="1"/>
      <c r="B95" s="1"/>
      <c r="C95" s="1"/>
      <c r="D95" s="1"/>
      <c r="E95" s="1"/>
      <c r="F95" s="1"/>
      <c r="G95" s="1"/>
      <c r="H95" s="1"/>
      <c r="I95" s="1"/>
    </row>
    <row r="96" spans="1:9">
      <c r="A96" s="1"/>
      <c r="B96" s="1"/>
      <c r="C96" s="1"/>
      <c r="D96" s="1"/>
      <c r="E96" s="1"/>
      <c r="F96" s="1"/>
      <c r="G96" s="1"/>
      <c r="H96" s="1"/>
      <c r="I96" s="1"/>
    </row>
    <row r="97" spans="1:9">
      <c r="A97" s="1"/>
      <c r="B97" s="1"/>
      <c r="C97" s="1"/>
      <c r="D97" s="1"/>
      <c r="E97" s="1"/>
      <c r="F97" s="1"/>
      <c r="G97" s="1"/>
      <c r="H97" s="1"/>
      <c r="I97" s="1"/>
    </row>
    <row r="98" spans="1:9">
      <c r="A98" s="1"/>
      <c r="B98" s="1"/>
      <c r="C98" s="1"/>
      <c r="D98" s="1"/>
      <c r="E98" s="1"/>
      <c r="F98" s="1"/>
      <c r="G98" s="1"/>
      <c r="H98" s="1"/>
      <c r="I98" s="1"/>
    </row>
    <row r="99" spans="1:9">
      <c r="A99" s="1"/>
      <c r="B99" s="1"/>
      <c r="C99" s="1"/>
      <c r="D99" s="1"/>
      <c r="E99" s="1"/>
      <c r="F99" s="1"/>
      <c r="G99" s="1"/>
      <c r="H99" s="1"/>
      <c r="I99" s="1"/>
    </row>
    <row r="100" spans="1:9">
      <c r="A100" s="1"/>
      <c r="B100" s="1"/>
      <c r="C100" s="1"/>
      <c r="D100" s="1"/>
      <c r="E100" s="1"/>
      <c r="F100" s="1"/>
      <c r="G100" s="1"/>
      <c r="H100" s="1"/>
      <c r="I100" s="1"/>
    </row>
    <row r="101" spans="1:9">
      <c r="A101" s="1"/>
      <c r="B101" s="1"/>
      <c r="C101" s="1"/>
      <c r="D101" s="1"/>
      <c r="E101" s="1"/>
      <c r="F101" s="1"/>
      <c r="G101" s="1"/>
      <c r="H101" s="1"/>
      <c r="I101" s="1"/>
    </row>
    <row r="102" spans="1:9">
      <c r="A102" s="1"/>
      <c r="B102" s="1"/>
      <c r="C102" s="1"/>
      <c r="D102" s="1"/>
      <c r="E102" s="1"/>
      <c r="F102" s="1"/>
      <c r="G102" s="1"/>
      <c r="H102" s="1"/>
      <c r="I102" s="1"/>
    </row>
    <row r="103" spans="1:9">
      <c r="A103" s="1"/>
      <c r="B103" s="1"/>
      <c r="C103" s="1"/>
      <c r="D103" s="1"/>
      <c r="E103" s="1"/>
      <c r="F103" s="1"/>
      <c r="G103" s="1"/>
      <c r="H103" s="1"/>
      <c r="I103" s="1"/>
    </row>
    <row r="104" spans="1:9">
      <c r="A104" s="1"/>
      <c r="B104" s="1"/>
      <c r="C104" s="1"/>
      <c r="D104" s="1"/>
      <c r="E104" s="1"/>
      <c r="F104" s="1"/>
      <c r="G104" s="1"/>
      <c r="H104" s="1"/>
      <c r="I104" s="1"/>
    </row>
    <row r="105" spans="1:9">
      <c r="A105" s="1"/>
      <c r="B105" s="1"/>
      <c r="C105" s="1"/>
      <c r="D105" s="1"/>
      <c r="E105" s="1"/>
      <c r="F105" s="1"/>
      <c r="G105" s="1"/>
      <c r="H105" s="1"/>
      <c r="I105" s="1"/>
    </row>
    <row r="106" spans="1:9">
      <c r="A106" s="1"/>
      <c r="B106" s="1"/>
      <c r="C106" s="1"/>
      <c r="D106" s="1"/>
      <c r="E106" s="1"/>
      <c r="F106" s="1"/>
      <c r="G106" s="1"/>
      <c r="H106" s="1"/>
      <c r="I106" s="1"/>
    </row>
    <row r="107" spans="1:9">
      <c r="A107" s="1"/>
      <c r="B107" s="1"/>
      <c r="C107" s="1"/>
      <c r="D107" s="1"/>
      <c r="E107" s="1"/>
      <c r="F107" s="1"/>
      <c r="G107" s="1"/>
      <c r="H107" s="1"/>
      <c r="I107" s="1"/>
    </row>
    <row r="108" spans="1:9">
      <c r="A108" s="1"/>
      <c r="B108" s="1"/>
      <c r="C108" s="1"/>
      <c r="D108" s="1"/>
      <c r="E108" s="1"/>
      <c r="F108" s="1"/>
      <c r="G108" s="1"/>
      <c r="H108" s="1"/>
      <c r="I108" s="1"/>
    </row>
    <row r="109" spans="1:9">
      <c r="A109" s="1"/>
      <c r="B109" s="1"/>
      <c r="C109" s="1"/>
      <c r="D109" s="1"/>
      <c r="E109" s="1"/>
      <c r="F109" s="1"/>
      <c r="G109" s="1"/>
      <c r="H109" s="1"/>
      <c r="I109" s="1"/>
    </row>
    <row r="110" spans="1:9">
      <c r="A110" s="1"/>
      <c r="B110" s="1"/>
      <c r="C110" s="1"/>
      <c r="D110" s="1"/>
      <c r="E110" s="1"/>
      <c r="F110" s="1"/>
      <c r="G110" s="1"/>
      <c r="H110" s="1"/>
      <c r="I110" s="1"/>
    </row>
    <row r="111" spans="1:9">
      <c r="A111" s="1"/>
      <c r="B111" s="1"/>
      <c r="C111" s="1"/>
      <c r="D111" s="1"/>
      <c r="E111" s="1"/>
      <c r="F111" s="1"/>
      <c r="G111" s="1"/>
      <c r="H111" s="1"/>
      <c r="I111" s="1"/>
    </row>
    <row r="112" spans="1:9">
      <c r="A112" s="1"/>
      <c r="B112" s="1"/>
      <c r="C112" s="1"/>
      <c r="D112" s="1"/>
      <c r="E112" s="1"/>
      <c r="F112" s="1"/>
      <c r="G112" s="1"/>
      <c r="H112" s="1"/>
      <c r="I112" s="1"/>
    </row>
    <row r="113" spans="1:9">
      <c r="A113" s="1"/>
      <c r="B113" s="1"/>
      <c r="C113" s="1"/>
      <c r="D113" s="1"/>
      <c r="E113" s="1"/>
      <c r="F113" s="1"/>
      <c r="G113" s="1"/>
      <c r="H113" s="1"/>
      <c r="I113" s="1"/>
    </row>
    <row r="114" spans="1:9">
      <c r="A114" s="1"/>
      <c r="B114" s="1"/>
      <c r="C114" s="1"/>
      <c r="D114" s="1"/>
      <c r="E114" s="1"/>
      <c r="F114" s="1"/>
      <c r="G114" s="1"/>
      <c r="H114" s="1"/>
      <c r="I114" s="1"/>
    </row>
    <row r="115" spans="1:9">
      <c r="A115" s="1"/>
      <c r="B115" s="1"/>
      <c r="C115" s="1"/>
      <c r="D115" s="1"/>
      <c r="E115" s="1"/>
      <c r="F115" s="1"/>
      <c r="G115" s="1"/>
      <c r="H115" s="1"/>
      <c r="I115" s="1"/>
    </row>
    <row r="116" spans="1:9">
      <c r="A116" s="1"/>
      <c r="B116" s="1"/>
      <c r="C116" s="1"/>
      <c r="D116" s="1"/>
      <c r="E116" s="1"/>
      <c r="F116" s="1"/>
      <c r="G116" s="1"/>
      <c r="H116" s="1"/>
      <c r="I116" s="1"/>
    </row>
    <row r="117" spans="1:9">
      <c r="A117" s="1"/>
      <c r="B117" s="1"/>
      <c r="C117" s="1"/>
      <c r="D117" s="1"/>
      <c r="E117" s="1"/>
      <c r="F117" s="1"/>
      <c r="G117" s="1"/>
      <c r="H117" s="1"/>
      <c r="I117" s="1"/>
    </row>
    <row r="118" spans="1:9">
      <c r="A118" s="1"/>
      <c r="B118" s="1"/>
      <c r="C118" s="1"/>
      <c r="D118" s="1"/>
      <c r="E118" s="1"/>
      <c r="F118" s="1"/>
      <c r="G118" s="1"/>
      <c r="H118" s="1"/>
      <c r="I118" s="1"/>
    </row>
    <row r="119" spans="1:9">
      <c r="A119" s="1"/>
      <c r="B119" s="1"/>
      <c r="C119" s="1"/>
      <c r="D119" s="1"/>
      <c r="E119" s="1"/>
      <c r="F119" s="1"/>
      <c r="G119" s="1"/>
      <c r="H119" s="1"/>
      <c r="I119" s="1"/>
    </row>
    <row r="120" spans="1:9">
      <c r="A120" s="1"/>
      <c r="B120" s="1"/>
      <c r="C120" s="1"/>
      <c r="D120" s="1"/>
      <c r="E120" s="1"/>
      <c r="F120" s="1"/>
      <c r="G120" s="1"/>
      <c r="H120" s="1"/>
      <c r="I120" s="1"/>
    </row>
    <row r="121" spans="1:9">
      <c r="A121" s="1"/>
      <c r="B121" s="1"/>
      <c r="C121" s="1"/>
      <c r="D121" s="1"/>
      <c r="E121" s="1"/>
      <c r="F121" s="1"/>
      <c r="G121" s="1"/>
      <c r="H121" s="1"/>
      <c r="I121" s="1"/>
    </row>
    <row r="122" spans="1:9">
      <c r="A122" s="1"/>
      <c r="B122" s="1"/>
      <c r="C122" s="1"/>
      <c r="D122" s="1"/>
      <c r="E122" s="1"/>
      <c r="F122" s="1"/>
      <c r="G122" s="1"/>
      <c r="H122" s="1"/>
      <c r="I122" s="1"/>
    </row>
    <row r="123" spans="1:9">
      <c r="A123" s="1"/>
      <c r="B123" s="1"/>
      <c r="C123" s="1"/>
      <c r="D123" s="1"/>
      <c r="E123" s="1"/>
      <c r="F123" s="1"/>
      <c r="G123" s="1"/>
      <c r="H123" s="1"/>
      <c r="I123" s="1"/>
    </row>
    <row r="124" spans="1:9">
      <c r="A124" s="1"/>
      <c r="B124" s="1"/>
      <c r="C124" s="1"/>
      <c r="D124" s="1"/>
      <c r="E124" s="1"/>
      <c r="F124" s="1"/>
      <c r="G124" s="1"/>
      <c r="H124" s="1"/>
      <c r="I124" s="1"/>
    </row>
    <row r="125" spans="1:9">
      <c r="A125" s="1"/>
      <c r="B125" s="1"/>
      <c r="C125" s="1"/>
      <c r="D125" s="1"/>
      <c r="E125" s="1"/>
      <c r="F125" s="1"/>
      <c r="G125" s="1"/>
      <c r="H125" s="1"/>
      <c r="I125" s="1"/>
    </row>
    <row r="126" spans="1:9">
      <c r="A126" s="1"/>
      <c r="B126" s="1"/>
      <c r="C126" s="1"/>
      <c r="D126" s="1"/>
      <c r="E126" s="1"/>
      <c r="F126" s="1"/>
      <c r="G126" s="1"/>
      <c r="H126" s="1"/>
      <c r="I126" s="1"/>
    </row>
    <row r="127" spans="1:9">
      <c r="A127" s="1"/>
      <c r="B127" s="1"/>
      <c r="C127" s="1"/>
      <c r="D127" s="1"/>
      <c r="E127" s="1"/>
      <c r="F127" s="1"/>
      <c r="G127" s="1"/>
      <c r="H127" s="1"/>
      <c r="I127" s="1"/>
    </row>
    <row r="128" spans="1:9">
      <c r="A128" s="1"/>
      <c r="B128" s="1"/>
      <c r="C128" s="1"/>
      <c r="D128" s="1"/>
      <c r="E128" s="1"/>
      <c r="F128" s="1"/>
      <c r="G128" s="1"/>
      <c r="H128" s="1"/>
      <c r="I128" s="1"/>
    </row>
    <row r="129" spans="1:9">
      <c r="A129" s="1"/>
      <c r="B129" s="1"/>
      <c r="C129" s="1"/>
      <c r="D129" s="1"/>
      <c r="E129" s="1"/>
      <c r="F129" s="1"/>
      <c r="G129" s="1"/>
      <c r="H129" s="1"/>
      <c r="I129" s="1"/>
    </row>
    <row r="130" spans="1:9">
      <c r="A130" s="1"/>
      <c r="B130" s="1"/>
      <c r="C130" s="1"/>
      <c r="D130" s="1"/>
      <c r="E130" s="1"/>
      <c r="F130" s="1"/>
      <c r="G130" s="1"/>
      <c r="H130" s="1"/>
      <c r="I130" s="1"/>
    </row>
    <row r="131" spans="1:9">
      <c r="A131" s="1"/>
      <c r="B131" s="1"/>
      <c r="C131" s="1"/>
      <c r="D131" s="1"/>
      <c r="E131" s="1"/>
      <c r="F131" s="1"/>
      <c r="G131" s="1"/>
      <c r="H131" s="1"/>
      <c r="I131" s="1"/>
    </row>
    <row r="132" spans="1:9">
      <c r="A132" s="1"/>
      <c r="B132" s="1"/>
      <c r="C132" s="1"/>
      <c r="D132" s="1"/>
      <c r="E132" s="1"/>
      <c r="F132" s="1"/>
      <c r="G132" s="1"/>
      <c r="H132" s="1"/>
      <c r="I132" s="1"/>
    </row>
    <row r="133" spans="1:9">
      <c r="A133" s="1"/>
      <c r="B133" s="1"/>
      <c r="C133" s="1"/>
      <c r="D133" s="1"/>
      <c r="E133" s="1"/>
      <c r="F133" s="1"/>
      <c r="G133" s="1"/>
      <c r="H133" s="1"/>
      <c r="I133" s="1"/>
    </row>
    <row r="134" spans="1:9">
      <c r="A134" s="1"/>
      <c r="B134" s="1"/>
      <c r="C134" s="1"/>
      <c r="D134" s="1"/>
      <c r="E134" s="1"/>
      <c r="F134" s="1"/>
      <c r="G134" s="1"/>
      <c r="H134" s="1"/>
      <c r="I134" s="1"/>
    </row>
    <row r="135" spans="1:9">
      <c r="A135" s="1"/>
      <c r="B135" s="1"/>
      <c r="C135" s="1"/>
      <c r="D135" s="1"/>
      <c r="E135" s="1"/>
      <c r="F135" s="1"/>
      <c r="G135" s="1"/>
      <c r="H135" s="1"/>
      <c r="I135" s="1"/>
    </row>
    <row r="136" spans="1:9">
      <c r="A136" s="1"/>
      <c r="B136" s="1"/>
      <c r="C136" s="1"/>
      <c r="D136" s="1"/>
      <c r="E136" s="1"/>
      <c r="F136" s="1"/>
      <c r="G136" s="1"/>
      <c r="H136" s="1"/>
      <c r="I136" s="1"/>
    </row>
    <row r="137" spans="1:9">
      <c r="A137" s="1"/>
      <c r="B137" s="1"/>
      <c r="C137" s="1"/>
      <c r="D137" s="1"/>
      <c r="E137" s="1"/>
      <c r="F137" s="1"/>
      <c r="G137" s="1"/>
      <c r="H137" s="1"/>
      <c r="I137" s="1"/>
    </row>
    <row r="138" spans="1:9">
      <c r="A138" s="1"/>
      <c r="B138" s="1"/>
      <c r="C138" s="1"/>
      <c r="D138" s="1"/>
      <c r="E138" s="1"/>
      <c r="F138" s="1"/>
      <c r="G138" s="1"/>
      <c r="H138" s="1"/>
      <c r="I138" s="1"/>
    </row>
    <row r="139" spans="1:9">
      <c r="A139" s="1"/>
      <c r="B139" s="1"/>
      <c r="C139" s="1"/>
      <c r="D139" s="1"/>
      <c r="E139" s="1"/>
      <c r="F139" s="1"/>
      <c r="G139" s="1"/>
      <c r="H139" s="1"/>
      <c r="I139" s="1"/>
    </row>
    <row r="140" spans="1:9">
      <c r="A140" s="1"/>
      <c r="B140" s="1"/>
      <c r="C140" s="1"/>
      <c r="D140" s="1"/>
      <c r="E140" s="1"/>
      <c r="F140" s="1"/>
      <c r="G140" s="1"/>
      <c r="H140" s="1"/>
      <c r="I140" s="1"/>
    </row>
  </sheetData>
  <mergeCells count="7">
    <mergeCell ref="E1:H1"/>
    <mergeCell ref="B2:C2"/>
    <mergeCell ref="A3:A6"/>
    <mergeCell ref="A9:A12"/>
    <mergeCell ref="A15:A18"/>
    <mergeCell ref="A21:A24"/>
    <mergeCell ref="A27:A30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Microsoft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combination-5柜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</dc:creator>
  <cp:lastModifiedBy>Sabrina</cp:lastModifiedBy>
  <dcterms:created xsi:type="dcterms:W3CDTF">2025-05-27T12:16:00Z</dcterms:created>
  <dcterms:modified xsi:type="dcterms:W3CDTF">2026-01-23T19:20:00Z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403ABAC119704BB2BF78CBBE72EB8A77_13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