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7" windowHeight="12300"/>
  </bookViews>
  <sheets>
    <sheet name="508HR0011152" sheetId="1" r:id="rId1"/>
    <sheet name="Sheet1" sheetId="4" r:id="rId2"/>
  </sheets>
  <definedNames>
    <definedName name="_xlnm._FilterDatabase" localSheetId="0" hidden="1">'508HR0011152'!$K$5:$K$14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<sst xmlns="http://schemas.openxmlformats.org/spreadsheetml/2006/main" count="69" uniqueCount="59">
  <si>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Booking: 508HR0011152</t>
  </si>
  <si>
    <t>ANA KAMEN</t>
  </si>
  <si>
    <t>ctn no.</t>
  </si>
  <si>
    <t>BLOCK SERIAL NO.</t>
  </si>
  <si>
    <t>VOLUME</t>
  </si>
  <si>
    <t>WEIGHT</t>
  </si>
  <si>
    <t xml:space="preserve">WEIGHT </t>
  </si>
  <si>
    <t>VGM</t>
  </si>
  <si>
    <t>TARE</t>
  </si>
  <si>
    <t>CONTAINER INFORMATION</t>
  </si>
  <si>
    <t>CBM</t>
  </si>
  <si>
    <t>PACKING LIST</t>
  </si>
  <si>
    <t>PROJEC NET</t>
  </si>
  <si>
    <t>CTN No.</t>
  </si>
  <si>
    <t>Seal No.</t>
  </si>
  <si>
    <t>1414/25</t>
  </si>
  <si>
    <t>1415/25</t>
  </si>
  <si>
    <t>1419/25</t>
  </si>
  <si>
    <t>MSMU2289455</t>
  </si>
  <si>
    <t>03174684</t>
  </si>
  <si>
    <t>1348/25</t>
  </si>
  <si>
    <t>1432/25</t>
  </si>
  <si>
    <t>0118/26</t>
  </si>
  <si>
    <t>TTNU1060213</t>
  </si>
  <si>
    <t>03174698</t>
  </si>
  <si>
    <t>1416/25</t>
  </si>
  <si>
    <t>1420/25</t>
  </si>
  <si>
    <t>MSMU1073754</t>
  </si>
  <si>
    <t>03174690</t>
  </si>
  <si>
    <t>1423/25</t>
  </si>
  <si>
    <t>1417/25</t>
  </si>
  <si>
    <t>1424/25</t>
  </si>
  <si>
    <t>MSBU1793806</t>
  </si>
  <si>
    <t>03174694</t>
  </si>
  <si>
    <t>1430/25</t>
  </si>
  <si>
    <t>1427/25</t>
  </si>
  <si>
    <t>0122/26</t>
  </si>
  <si>
    <t>TEMU1873381</t>
  </si>
  <si>
    <t>03174695</t>
  </si>
  <si>
    <t>1425/25</t>
  </si>
  <si>
    <t>1418/25</t>
  </si>
  <si>
    <t>MSDU1656797</t>
  </si>
  <si>
    <t>03174687</t>
  </si>
  <si>
    <t>1422/25</t>
  </si>
  <si>
    <t>1428/25</t>
  </si>
  <si>
    <t>1429/25</t>
  </si>
  <si>
    <t>MSDU2311819</t>
  </si>
  <si>
    <t>03174691</t>
  </si>
  <si>
    <t>1421/25</t>
  </si>
  <si>
    <t>1431/25</t>
  </si>
  <si>
    <t>0119/26</t>
  </si>
  <si>
    <t>MSBU1870327</t>
  </si>
  <si>
    <t>03174560</t>
  </si>
  <si>
    <t>1426/25</t>
  </si>
  <si>
    <t>0120/26</t>
  </si>
  <si>
    <t>0121/26</t>
  </si>
  <si>
    <t>MEDU5379292</t>
  </si>
  <si>
    <t>03174671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</si>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</sst>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1A]General"/>
    <numFmt numFmtId="177" formatCode="#,##0.00&quot; &quot;[$kn-41A];[Red]&quot;-&quot;#,##0.00&quot; &quot;[$kn-41A]"/>
    <numFmt numFmtId="178" formatCode="#,##0.000"/>
    <numFmt numFmtId="179" formatCode="0.000"/>
  </numFmts>
  <fonts count="52">
    <font>
      <sz val="11"/>
      <color rgb="FF000000"/>
      <name val="Calibri"/>
      <charset val="238"/>
    </font>
    <font>
      <b/>
      <sz val="12"/>
      <color rgb="FF000000"/>
      <name val="Arial"/>
      <charset val="134"/>
    </font>
    <font>
      <b/>
      <sz val="12"/>
      <color rgb="FF000000"/>
      <name val="Arial"/>
      <charset val="1"/>
    </font>
    <font>
      <b/>
      <sz val="11"/>
      <color rgb="FF000000"/>
      <name val="Calibri"/>
      <charset val="238"/>
    </font>
    <font>
      <sz val="11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238"/>
    </font>
    <font>
      <b/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238"/>
      <scheme val="minor"/>
    </font>
    <font>
      <sz val="18"/>
      <color theme="3"/>
      <name val="等线 Light"/>
      <charset val="238"/>
      <scheme val="maj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238"/>
      <scheme val="minor"/>
    </font>
    <font>
      <b/>
      <sz val="13"/>
      <color theme="3"/>
      <name val="等线"/>
      <charset val="238"/>
      <scheme val="minor"/>
    </font>
    <font>
      <b/>
      <sz val="11"/>
      <color theme="3"/>
      <name val="等线"/>
      <charset val="238"/>
      <scheme val="minor"/>
    </font>
    <font>
      <sz val="11"/>
      <color rgb="FF3F3F76"/>
      <name val="等线"/>
      <charset val="238"/>
      <scheme val="minor"/>
    </font>
    <font>
      <b/>
      <sz val="11"/>
      <color rgb="FF3F3F3F"/>
      <name val="等线"/>
      <charset val="238"/>
      <scheme val="minor"/>
    </font>
    <font>
      <b/>
      <sz val="11"/>
      <color rgb="FFFA7D00"/>
      <name val="等线"/>
      <charset val="238"/>
      <scheme val="minor"/>
    </font>
    <font>
      <b/>
      <sz val="11"/>
      <color theme="0"/>
      <name val="等线"/>
      <charset val="238"/>
      <scheme val="minor"/>
    </font>
    <font>
      <sz val="11"/>
      <color rgb="FFFA7D00"/>
      <name val="等线"/>
      <charset val="238"/>
      <scheme val="minor"/>
    </font>
    <font>
      <b/>
      <sz val="11"/>
      <color theme="1"/>
      <name val="等线"/>
      <charset val="238"/>
      <scheme val="minor"/>
    </font>
    <font>
      <sz val="11"/>
      <color rgb="FF006100"/>
      <name val="等线"/>
      <charset val="238"/>
      <scheme val="minor"/>
    </font>
    <font>
      <sz val="11"/>
      <color rgb="FF9C0006"/>
      <name val="等线"/>
      <charset val="238"/>
      <scheme val="minor"/>
    </font>
    <font>
      <sz val="11"/>
      <color rgb="FF9C5700"/>
      <name val="等线"/>
      <charset val="238"/>
      <scheme val="minor"/>
    </font>
    <font>
      <sz val="11"/>
      <color theme="0"/>
      <name val="等线"/>
      <charset val="238"/>
      <scheme val="minor"/>
    </font>
    <font>
      <sz val="11"/>
      <color theme="1"/>
      <name val="等线"/>
      <charset val="238"/>
      <scheme val="minor"/>
    </font>
    <font>
      <b/>
      <sz val="10"/>
      <color rgb="FF000000"/>
      <name val="Liberation Sans"/>
      <charset val="238"/>
    </font>
    <font>
      <sz val="10"/>
      <color rgb="FFFFFFFF"/>
      <name val="Liberation Sans"/>
      <charset val="238"/>
    </font>
    <font>
      <sz val="10"/>
      <color rgb="FFCC0000"/>
      <name val="Liberation Sans"/>
      <charset val="238"/>
    </font>
    <font>
      <b/>
      <sz val="10"/>
      <color rgb="FFFFFFFF"/>
      <name val="Liberation Sans"/>
      <charset val="238"/>
    </font>
    <font>
      <sz val="10"/>
      <color theme="1"/>
      <name val="Arial1"/>
      <charset val="134"/>
    </font>
    <font>
      <sz val="11"/>
      <color rgb="FF000000"/>
      <name val="Calibri"/>
      <charset val="134"/>
    </font>
    <font>
      <i/>
      <sz val="11"/>
      <color rgb="FF7F7F7F"/>
      <name val="等线"/>
      <charset val="238"/>
      <scheme val="minor"/>
    </font>
    <font>
      <i/>
      <sz val="10"/>
      <color rgb="FF808080"/>
      <name val="Liberation Sans"/>
      <charset val="238"/>
    </font>
    <font>
      <sz val="10"/>
      <color rgb="FF006600"/>
      <name val="Liberation Sans"/>
      <charset val="238"/>
    </font>
    <font>
      <b/>
      <i/>
      <sz val="16"/>
      <color theme="1"/>
      <name val="Arial"/>
      <charset val="134"/>
    </font>
    <font>
      <b/>
      <sz val="24"/>
      <color rgb="FF000000"/>
      <name val="Liberation Sans"/>
      <charset val="238"/>
    </font>
    <font>
      <sz val="18"/>
      <color rgb="FF000000"/>
      <name val="Liberation Sans"/>
      <charset val="238"/>
    </font>
    <font>
      <sz val="12"/>
      <color rgb="FF000000"/>
      <name val="Liberation Sans"/>
      <charset val="238"/>
    </font>
    <font>
      <u/>
      <sz val="10"/>
      <color rgb="FF0000EE"/>
      <name val="Liberation Sans"/>
      <charset val="238"/>
    </font>
    <font>
      <sz val="10"/>
      <color rgb="FF996600"/>
      <name val="Liberation Sans"/>
      <charset val="238"/>
    </font>
    <font>
      <sz val="11"/>
      <color rgb="FF000000"/>
      <name val="Calibri1"/>
      <charset val="238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Liberation Sans"/>
      <charset val="238"/>
    </font>
    <font>
      <sz val="11"/>
      <color rgb="FF000000"/>
      <name val="Arial"/>
      <charset val="134"/>
    </font>
    <font>
      <sz val="11"/>
      <color theme="1"/>
      <name val="Arial"/>
      <charset val="134"/>
    </font>
    <font>
      <sz val="10"/>
      <color rgb="FF333333"/>
      <name val="Liberation Sans"/>
      <charset val="238"/>
    </font>
    <font>
      <b/>
      <i/>
      <u/>
      <sz val="11"/>
      <color theme="1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6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7" applyNumberFormat="0" applyAlignment="0" applyProtection="0"/>
    <xf numFmtId="0" fontId="19" fillId="5" borderId="8" applyNumberFormat="0" applyAlignment="0" applyProtection="0"/>
    <xf numFmtId="0" fontId="20" fillId="5" borderId="7" applyNumberFormat="0" applyAlignment="0" applyProtection="0"/>
    <xf numFmtId="0" fontId="21" fillId="6" borderId="9" applyNumberFormat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7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7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7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7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9" fillId="0" borderId="0"/>
    <xf numFmtId="0" fontId="30" fillId="34" borderId="0"/>
    <xf numFmtId="0" fontId="30" fillId="35" borderId="0"/>
    <xf numFmtId="0" fontId="29" fillId="36" borderId="0"/>
    <xf numFmtId="0" fontId="31" fillId="37" borderId="0"/>
    <xf numFmtId="0" fontId="32" fillId="38" borderId="0"/>
    <xf numFmtId="0" fontId="33" fillId="0" borderId="0"/>
    <xf numFmtId="176" fontId="34" fillId="0" borderId="0"/>
    <xf numFmtId="0" fontId="35" fillId="0" borderId="0" applyNumberFormat="0" applyFill="0" applyBorder="0" applyAlignment="0" applyProtection="0"/>
    <xf numFmtId="0" fontId="36" fillId="0" borderId="0"/>
    <xf numFmtId="0" fontId="37" fillId="39" borderId="0"/>
    <xf numFmtId="0" fontId="38" fillId="0" borderId="0">
      <alignment horizontal="center"/>
    </xf>
    <xf numFmtId="0" fontId="39" fillId="0" borderId="0"/>
    <xf numFmtId="0" fontId="40" fillId="0" borderId="0"/>
    <xf numFmtId="0" fontId="41" fillId="0" borderId="0"/>
    <xf numFmtId="0" fontId="38" fillId="0" borderId="0">
      <alignment horizontal="center" textRotation="90"/>
    </xf>
    <xf numFmtId="0" fontId="42" fillId="0" borderId="0"/>
    <xf numFmtId="0" fontId="43" fillId="40" borderId="0"/>
    <xf numFmtId="0" fontId="44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6" fillId="0" borderId="0"/>
    <xf numFmtId="0" fontId="48" fillId="0" borderId="0" applyNumberFormat="0" applyFont="0" applyBorder="0" applyProtection="0"/>
    <xf numFmtId="0" fontId="49" fillId="0" borderId="0"/>
    <xf numFmtId="0" fontId="28" fillId="0" borderId="0"/>
    <xf numFmtId="0" fontId="48" fillId="0" borderId="0" applyNumberFormat="0" applyFont="0" applyBorder="0" applyProtection="0"/>
    <xf numFmtId="0" fontId="46" fillId="0" borderId="0"/>
    <xf numFmtId="0" fontId="50" fillId="40" borderId="12"/>
    <xf numFmtId="0" fontId="28" fillId="41" borderId="3" applyNumberFormat="0" applyFont="0" applyAlignment="0" applyProtection="0"/>
    <xf numFmtId="0" fontId="51" fillId="0" borderId="0"/>
    <xf numFmtId="177" fontId="51" fillId="0" borderId="0"/>
    <xf numFmtId="0" fontId="47" fillId="0" borderId="0"/>
    <xf numFmtId="0" fontId="47" fillId="0" borderId="0"/>
    <xf numFmtId="0" fontId="31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0" fillId="0" borderId="0" xfId="0" applyNumberFormat="1"/>
    <xf numFmtId="0" fontId="0" fillId="0" borderId="0" xfId="0" applyBorder="1"/>
    <xf numFmtId="178" fontId="7" fillId="0" borderId="1" xfId="0" applyNumberFormat="1" applyFont="1" applyFill="1" applyBorder="1" applyAlignment="1">
      <alignment horizontal="center"/>
    </xf>
    <xf numFmtId="4" fontId="7" fillId="0" borderId="1" xfId="0" applyNumberFormat="1" applyFont="1" applyFill="1" applyBorder="1" applyAlignment="1">
      <alignment horizontal="center"/>
    </xf>
    <xf numFmtId="1" fontId="0" fillId="0" borderId="2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78" fontId="8" fillId="0" borderId="0" xfId="0" applyNumberFormat="1" applyFont="1"/>
    <xf numFmtId="4" fontId="8" fillId="0" borderId="0" xfId="0" applyNumberFormat="1" applyFont="1"/>
    <xf numFmtId="0" fontId="8" fillId="0" borderId="0" xfId="0" applyFont="1"/>
  </cellXfs>
  <cellStyles count="8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Bad 2" xfId="53"/>
    <cellStyle name="Error" xfId="54"/>
    <cellStyle name="Excel Built-in Explanatory Text" xfId="55"/>
    <cellStyle name="Excel Built-in Normal" xfId="56"/>
    <cellStyle name="Explanatory Text 2" xfId="57"/>
    <cellStyle name="Footnote" xfId="58"/>
    <cellStyle name="Good 2" xfId="59"/>
    <cellStyle name="Heading" xfId="60"/>
    <cellStyle name="Heading (user)" xfId="61"/>
    <cellStyle name="Heading 1 2" xfId="62"/>
    <cellStyle name="Heading 2 2" xfId="63"/>
    <cellStyle name="Heading1" xfId="64"/>
    <cellStyle name="Hyperlink" xfId="65"/>
    <cellStyle name="Neutral 2" xfId="66"/>
    <cellStyle name="Normal 11 2" xfId="67"/>
    <cellStyle name="Normal 144" xfId="68"/>
    <cellStyle name="Normal 2" xfId="69"/>
    <cellStyle name="Normal 2 2" xfId="70"/>
    <cellStyle name="Normal 2 3" xfId="71"/>
    <cellStyle name="Normal 3" xfId="72"/>
    <cellStyle name="Normal 3 2" xfId="73"/>
    <cellStyle name="Normal 3 3" xfId="74"/>
    <cellStyle name="Normal 4" xfId="75"/>
    <cellStyle name="Normal 5" xfId="76"/>
    <cellStyle name="Normal 8" xfId="77"/>
    <cellStyle name="Normalno 2" xfId="78"/>
    <cellStyle name="Note 2" xfId="79"/>
    <cellStyle name="Note 3" xfId="80"/>
    <cellStyle name="Result" xfId="81"/>
    <cellStyle name="Result2" xfId="82"/>
    <cellStyle name="Status" xfId="83"/>
    <cellStyle name="Text" xfId="84"/>
    <cellStyle name="Warning" xfId="8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7"/>
  <sheetViews>
    <sheetView tabSelected="1" zoomScale="145" zoomScaleNormal="145" workbookViewId="0">
      <selection activeCell="I20" sqref="I20"/>
    </sheetView>
  </sheetViews>
  <sheetFormatPr defaultColWidth="9" defaultRowHeight="14.4"/>
  <cols>
    <col min="1" max="1" width="1" customWidth="1"/>
    <col min="2" max="2" width="4.57407407407407" customWidth="1"/>
    <col min="3" max="3" width="12.4259259259259" customWidth="1"/>
    <col min="4" max="5" width="12.5740740740741" customWidth="1"/>
    <col min="6" max="6" width="9.13888888888889" customWidth="1"/>
    <col min="7" max="7" width="14.287037037037" customWidth="1"/>
    <col min="8" max="8" width="13.712962962963" customWidth="1"/>
    <col min="9" max="10" width="10.5740740740741" customWidth="1"/>
    <col min="11" max="11" width="15.1388888888889" customWidth="1"/>
    <col min="12" max="12" width="13.1388888888889" customWidth="1"/>
    <col min="13" max="13" width="11.5740740740741" customWidth="1"/>
    <col min="14" max="14" width="8.71296296296296" customWidth="1"/>
    <col min="15" max="15" width="15" customWidth="1"/>
    <col min="16" max="16" width="13.1388888888889" customWidth="1"/>
    <col min="17" max="1023" width="8.71296296296296" customWidth="1"/>
  </cols>
  <sheetData>
    <row r="1" ht="5.45" customHeight="1"/>
    <row r="2" ht="15.6" spans="2:16">
      <c r="B2" s="1" t="s">
        <v>0</v>
      </c>
      <c r="C2" s="1"/>
      <c r="D2" s="1"/>
      <c r="E2" s="1"/>
      <c r="F2" s="2"/>
      <c r="G2" s="2"/>
      <c r="H2" s="2"/>
      <c r="I2" s="3" t="s">
        <v>1</v>
      </c>
      <c r="J2" s="3"/>
      <c r="K2" s="3"/>
      <c r="L2" s="3"/>
    </row>
    <row r="3" ht="6" customHeight="1" spans="2:16">
      <c r="C3" s="4"/>
      <c r="D3" s="4"/>
      <c r="E3" s="4"/>
      <c r="F3" s="4"/>
      <c r="G3" s="4"/>
      <c r="H3" s="4"/>
    </row>
    <row r="4" ht="15.75" customHeight="1" spans="2:16">
      <c r="B4" s="5" t="s">
        <v>2</v>
      </c>
      <c r="C4" s="6" t="s">
        <v>3</v>
      </c>
      <c r="D4" s="6"/>
      <c r="E4" s="6"/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6" t="s">
        <v>9</v>
      </c>
      <c r="L4" s="6"/>
      <c r="P4" s="8"/>
    </row>
    <row r="5" ht="14.45" customHeight="1" spans="2:16">
      <c r="B5" s="5"/>
      <c r="C5" s="6">
        <v>1</v>
      </c>
      <c r="D5" s="6">
        <v>2</v>
      </c>
      <c r="E5" s="6">
        <v>3</v>
      </c>
      <c r="F5" s="9" t="s">
        <v>10</v>
      </c>
      <c r="G5" s="9" t="s">
        <v>11</v>
      </c>
      <c r="H5" s="9" t="s">
        <v>12</v>
      </c>
      <c r="I5" s="9"/>
      <c r="J5" s="9"/>
      <c r="K5" s="6" t="s">
        <v>13</v>
      </c>
      <c r="L5" s="6" t="s">
        <v>14</v>
      </c>
      <c r="P5" s="8"/>
    </row>
    <row r="6" spans="2:16">
      <c r="B6" s="10">
        <v>1</v>
      </c>
      <c r="C6" s="11" t="s">
        <v>15</v>
      </c>
      <c r="D6" s="11" t="s">
        <v>16</v>
      </c>
      <c r="E6" s="11" t="s">
        <v>17</v>
      </c>
      <c r="F6" s="12">
        <v>9.49</v>
      </c>
      <c r="G6" s="13">
        <v>25140</v>
      </c>
      <c r="H6" s="13">
        <f>I6-J6</f>
        <v>24980</v>
      </c>
      <c r="I6" s="13">
        <v>27200</v>
      </c>
      <c r="J6" s="13">
        <v>2220</v>
      </c>
      <c r="K6" s="14" t="s">
        <v>18</v>
      </c>
      <c r="L6" s="15" t="s">
        <v>19</v>
      </c>
      <c r="M6" s="16">
        <f>+H6-G6</f>
        <v>-160</v>
      </c>
      <c r="O6" s="16"/>
      <c r="P6" s="17"/>
    </row>
    <row r="7" spans="2:16">
      <c r="B7" s="10">
        <v>2</v>
      </c>
      <c r="C7" s="11" t="s">
        <v>20</v>
      </c>
      <c r="D7" s="11" t="s">
        <v>21</v>
      </c>
      <c r="E7" s="11" t="s">
        <v>22</v>
      </c>
      <c r="F7" s="12">
        <v>10.185</v>
      </c>
      <c r="G7" s="13">
        <v>26990</v>
      </c>
      <c r="H7" s="13">
        <f t="shared" ref="H7:H14" si="0">I7-J7</f>
        <v>26700</v>
      </c>
      <c r="I7" s="13">
        <v>28800</v>
      </c>
      <c r="J7" s="13">
        <v>2100</v>
      </c>
      <c r="K7" s="14" t="s">
        <v>23</v>
      </c>
      <c r="L7" s="15" t="s">
        <v>24</v>
      </c>
      <c r="M7" s="16">
        <f t="shared" ref="M7:M14" si="1">+H7-G7</f>
        <v>-290</v>
      </c>
      <c r="O7" s="16"/>
    </row>
    <row r="8" spans="2:16">
      <c r="B8" s="10">
        <v>3</v>
      </c>
      <c r="C8" s="11" t="s">
        <v>25</v>
      </c>
      <c r="D8" s="11" t="s">
        <v>26</v>
      </c>
      <c r="E8" s="18"/>
      <c r="F8" s="12">
        <v>9.786</v>
      </c>
      <c r="G8" s="13">
        <v>25930</v>
      </c>
      <c r="H8" s="13">
        <f t="shared" si="0"/>
        <v>26100</v>
      </c>
      <c r="I8" s="13">
        <v>28200</v>
      </c>
      <c r="J8" s="13">
        <v>2100</v>
      </c>
      <c r="K8" s="14" t="s">
        <v>27</v>
      </c>
      <c r="L8" s="15" t="s">
        <v>28</v>
      </c>
      <c r="M8" s="16">
        <f t="shared" si="1"/>
        <v>170</v>
      </c>
      <c r="O8" s="16"/>
    </row>
    <row r="9" spans="2:16">
      <c r="B9" s="10">
        <v>4</v>
      </c>
      <c r="C9" s="11" t="s">
        <v>29</v>
      </c>
      <c r="D9" s="11" t="s">
        <v>30</v>
      </c>
      <c r="E9" s="11" t="s">
        <v>31</v>
      </c>
      <c r="F9" s="12">
        <v>9.1</v>
      </c>
      <c r="G9" s="13">
        <v>24120</v>
      </c>
      <c r="H9" s="13">
        <f t="shared" si="0"/>
        <v>24300</v>
      </c>
      <c r="I9" s="13">
        <v>26400</v>
      </c>
      <c r="J9" s="13">
        <v>2100</v>
      </c>
      <c r="K9" s="14" t="s">
        <v>32</v>
      </c>
      <c r="L9" s="15" t="s">
        <v>33</v>
      </c>
      <c r="M9" s="16">
        <f t="shared" si="1"/>
        <v>180</v>
      </c>
      <c r="O9" s="16"/>
    </row>
    <row r="10" spans="2:16">
      <c r="B10" s="10">
        <v>5</v>
      </c>
      <c r="C10" s="11" t="s">
        <v>34</v>
      </c>
      <c r="D10" s="11" t="s">
        <v>35</v>
      </c>
      <c r="E10" s="11" t="s">
        <v>36</v>
      </c>
      <c r="F10" s="12">
        <v>8.32</v>
      </c>
      <c r="G10" s="13">
        <v>22080</v>
      </c>
      <c r="H10" s="13">
        <f t="shared" si="0"/>
        <v>21900</v>
      </c>
      <c r="I10" s="13">
        <v>24000</v>
      </c>
      <c r="J10" s="13">
        <v>2100</v>
      </c>
      <c r="K10" s="14" t="s">
        <v>37</v>
      </c>
      <c r="L10" s="15" t="s">
        <v>38</v>
      </c>
      <c r="M10" s="16">
        <f t="shared" si="1"/>
        <v>-180</v>
      </c>
      <c r="O10" s="16"/>
    </row>
    <row r="11" spans="2:16">
      <c r="B11" s="10">
        <v>6</v>
      </c>
      <c r="C11" s="11" t="s">
        <v>39</v>
      </c>
      <c r="D11" s="11" t="s">
        <v>40</v>
      </c>
      <c r="E11" s="11"/>
      <c r="F11" s="12">
        <v>9.44</v>
      </c>
      <c r="G11" s="13">
        <v>25000</v>
      </c>
      <c r="H11" s="13">
        <f t="shared" si="0"/>
        <v>24780</v>
      </c>
      <c r="I11" s="13">
        <v>27000</v>
      </c>
      <c r="J11" s="13">
        <v>2220</v>
      </c>
      <c r="K11" s="14" t="s">
        <v>41</v>
      </c>
      <c r="L11" s="15" t="s">
        <v>42</v>
      </c>
      <c r="M11" s="16">
        <f t="shared" si="1"/>
        <v>-220</v>
      </c>
      <c r="O11" s="16"/>
    </row>
    <row r="12" spans="2:16">
      <c r="B12" s="10">
        <v>7</v>
      </c>
      <c r="C12" s="11" t="s">
        <v>43</v>
      </c>
      <c r="D12" s="11" t="s">
        <v>44</v>
      </c>
      <c r="E12" s="11" t="s">
        <v>45</v>
      </c>
      <c r="F12" s="12">
        <v>8.771</v>
      </c>
      <c r="G12" s="13">
        <v>23260</v>
      </c>
      <c r="H12" s="13">
        <f t="shared" si="0"/>
        <v>23200</v>
      </c>
      <c r="I12" s="19">
        <v>25300</v>
      </c>
      <c r="J12" s="13">
        <v>2100</v>
      </c>
      <c r="K12" s="14" t="s">
        <v>46</v>
      </c>
      <c r="L12" s="15" t="s">
        <v>47</v>
      </c>
      <c r="M12" s="16">
        <f t="shared" si="1"/>
        <v>-60</v>
      </c>
      <c r="O12" s="16"/>
    </row>
    <row r="13" spans="2:16">
      <c r="B13" s="10">
        <v>8</v>
      </c>
      <c r="C13" s="11" t="s">
        <v>48</v>
      </c>
      <c r="D13" s="11" t="s">
        <v>49</v>
      </c>
      <c r="E13" s="11" t="s">
        <v>50</v>
      </c>
      <c r="F13" s="12">
        <v>10.06</v>
      </c>
      <c r="G13" s="13">
        <v>26640</v>
      </c>
      <c r="H13" s="13">
        <f t="shared" si="0"/>
        <v>26800</v>
      </c>
      <c r="I13" s="19">
        <v>28900</v>
      </c>
      <c r="J13" s="13">
        <v>2100</v>
      </c>
      <c r="K13" s="14" t="s">
        <v>51</v>
      </c>
      <c r="L13" s="15" t="s">
        <v>52</v>
      </c>
      <c r="M13" s="16">
        <f t="shared" si="1"/>
        <v>160</v>
      </c>
      <c r="O13" s="16"/>
    </row>
    <row r="14" spans="2:16">
      <c r="B14" s="10">
        <v>9</v>
      </c>
      <c r="C14" s="11" t="s">
        <v>53</v>
      </c>
      <c r="D14" s="11" t="s">
        <v>54</v>
      </c>
      <c r="E14" s="11" t="s">
        <v>55</v>
      </c>
      <c r="F14" s="12">
        <v>9.192</v>
      </c>
      <c r="G14" s="13">
        <v>24360</v>
      </c>
      <c r="H14" s="13">
        <f t="shared" si="0"/>
        <v>24480</v>
      </c>
      <c r="I14" s="19">
        <v>26700</v>
      </c>
      <c r="J14" s="13">
        <v>2220</v>
      </c>
      <c r="K14" s="14" t="s">
        <v>56</v>
      </c>
      <c r="L14" s="15" t="s">
        <v>57</v>
      </c>
      <c r="M14" s="16">
        <f t="shared" si="1"/>
        <v>120</v>
      </c>
      <c r="O14" s="16"/>
    </row>
    <row r="15" ht="6" customHeight="1" spans="2:16">
      <c r="C15" s="20"/>
      <c r="D15" s="21"/>
      <c r="E15" s="21"/>
    </row>
    <row r="16" spans="2:16">
      <c r="F16" s="22">
        <f>SUM(F6:F14)</f>
        <v>84.344</v>
      </c>
      <c r="G16" s="22">
        <f>SUM(G6:G14)</f>
        <v>223520</v>
      </c>
      <c r="H16" s="22">
        <f>SUM(H6:H14)</f>
        <v>223240</v>
      </c>
      <c r="I16" s="23"/>
      <c r="J16" s="23"/>
      <c r="M16" s="16">
        <f>SUM(M6:M14)</f>
        <v>-280</v>
      </c>
    </row>
    <row r="18" spans="6:14">
      <c r="F18" t="s">
        <v>58</v>
      </c>
      <c r="I18" t="s">
        <v>58</v>
      </c>
    </row>
    <row r="19" spans="6:14">
      <c r="F19" t="s">
        <v>58</v>
      </c>
    </row>
    <row r="20" spans="6:14">
      <c r="F20" t="s">
        <v>58</v>
      </c>
    </row>
    <row r="21" spans="6:14">
      <c r="F21" t="s">
        <v>58</v>
      </c>
    </row>
    <row r="22" spans="6:14">
      <c r="F22" t="s">
        <v>58</v>
      </c>
      <c r="N22" s="24"/>
    </row>
    <row r="23" spans="6:14">
      <c r="F23" t="s">
        <v>58</v>
      </c>
    </row>
    <row r="24" spans="6:14">
      <c r="F24" t="s">
        <v>58</v>
      </c>
    </row>
    <row r="25" spans="6:14">
      <c r="F25" t="s">
        <v>58</v>
      </c>
    </row>
    <row r="26" spans="6:14">
      <c r="F26" t="s">
        <v>58</v>
      </c>
    </row>
    <row r="27" spans="6:14">
      <c r="F27" t="s">
        <v>58</v>
      </c>
    </row>
  </sheetData>
  <autoFilter xmlns:etc="http://www.wps.cn/officeDocument/2017/etCustomData" ref="K5:K14" etc:filterBottomFollowUsedRange="0">
    <extLst/>
  </autoFilter>
  <mergeCells count="5">
    <mergeCell ref="B2:D2"/>
    <mergeCell ref="I2:L2"/>
    <mergeCell ref="C4:D4"/>
    <mergeCell ref="K4:L4"/>
    <mergeCell ref="B4:B5"/>
  </mergeCells>
  <pageMargins left="0.7" right="0.7" top="0.75" bottom="0.75" header="0.511805555555555" footer="0.511805555555555"/>
  <pageSetup paperSize="9" firstPageNumber="0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5" sqref="B25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B1BFAB3-930B-4B77-835F-D3230F613FBE}">
  <ds:schemaRefs/>
</ds:datastoreItem>
</file>

<file path=customXml/itemProps2.xml><?xml version="1.0" encoding="utf-8"?>
<ds:datastoreItem xmlns:ds="http://schemas.openxmlformats.org/officeDocument/2006/customXml" ds:itemID="{04B7D2F8-F32C-4BB9-95B3-64B8C9E8FD1E}">
  <ds:schemaRefs/>
</ds:datastoreItem>
</file>

<file path=customXml/itemProps3.xml><?xml version="1.0" encoding="utf-8"?>
<ds:datastoreItem xmlns:ds="http://schemas.openxmlformats.org/officeDocument/2006/customXml" ds:itemID="{B72B4F41-565E-4CC8-B3FD-19AE7E14DE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508HR0011152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Sabrina</cp:lastModifiedBy>
  <dcterms:created xsi:type="dcterms:W3CDTF">2018-05-03T09:42:00Z</dcterms:created>
  <cp:lastPrinted>2025-05-14T12:24:00Z</cp:lastPrinted>
  <dcterms:modified xsi:type="dcterms:W3CDTF">2026-03-20T09:53:33Z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0x01010047928A23CBCBD9429CC74352AD69A848</vt:lpwstr>
  </property>
  <property fmtid="{D5CDD505-2E9C-101B-9397-08002B2CF9AE}" pid="3" name="MediaServiceImageTags">
    <vt:lpwstr/>
  </property>
  <property fmtid="{D5CDD505-2E9C-101B-9397-08002B2CF9AE}" pid="4" name="ICV">
    <vt:lpwstr>FACFD19852C7452CAC46B60B1C235D38_13</vt:lpwstr>
  </property>
  <property fmtid="{D5CDD505-2E9C-101B-9397-08002B2CF9AE}" pid="5" name="KSOProductBuildVer">
    <vt:lpwstr>2052-12.1.0.25222</vt:lpwstr>
  </property>
  <property fmtid="{D5CDD505-2E9C-101B-9397-08002B2CF9AE}" pid="6" name="CalculationRule">
    <vt:i4>0</vt:i4>
  </property>
</Properties>
</file>